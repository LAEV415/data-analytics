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uise\Documents\DataAnalytics\week-01\"/>
    </mc:Choice>
  </mc:AlternateContent>
  <xr:revisionPtr revIDLastSave="0" documentId="13_ncr:1_{D16F5D43-18E4-4D62-9EB7-380F0A62DF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7" i="1"/>
  <c r="L6" i="1"/>
  <c r="G6" i="1"/>
  <c r="D6" i="1"/>
  <c r="D2" i="1"/>
  <c r="D3" i="1"/>
  <c r="D4" i="1"/>
  <c r="D5" i="1"/>
</calcChain>
</file>

<file path=xl/sharedStrings.xml><?xml version="1.0" encoding="utf-8"?>
<sst xmlns="http://schemas.openxmlformats.org/spreadsheetml/2006/main" count="42" uniqueCount="34">
  <si>
    <t>Id</t>
  </si>
  <si>
    <t>Start time</t>
  </si>
  <si>
    <t>Completion time</t>
  </si>
  <si>
    <t>Email</t>
  </si>
  <si>
    <t>Name</t>
  </si>
  <si>
    <t>How would you rate your experience with us?</t>
  </si>
  <si>
    <t>Are there any specific dishes or staff interactions that stood out during your visit? We would love to hear the details.</t>
  </si>
  <si>
    <t>What is something you'd like to see more of? (i.e. Events, Live performances, Dishes, Cultural representation, etc.)</t>
  </si>
  <si>
    <t>We value your feedback, how can we improve?</t>
  </si>
  <si>
    <t>We are exploring a new rewards program! What types of perks or rewards would make your visits even more special?</t>
  </si>
  <si>
    <t>dsanchez1@my.yearupunited.org</t>
  </si>
  <si>
    <t>dahlia sanchez</t>
  </si>
  <si>
    <t>Everything was perfect. I had an amazing time with friends.</t>
  </si>
  <si>
    <t>I would love live music.</t>
  </si>
  <si>
    <t>lespinosavillicana@my.yearupunited.org</t>
  </si>
  <si>
    <t>luisangel espinosavillicana</t>
  </si>
  <si>
    <t>The food was really good!</t>
  </si>
  <si>
    <t>Cultural representation of more states from Mexico</t>
  </si>
  <si>
    <t>The staff was extremely kind and helpful.</t>
  </si>
  <si>
    <t>Live performances!</t>
  </si>
  <si>
    <t>I wasn't a big fan of the food.</t>
  </si>
  <si>
    <t>More variety of dishes</t>
  </si>
  <si>
    <t>Add more seafood options</t>
  </si>
  <si>
    <t>Column1</t>
  </si>
  <si>
    <t>Time to Complete</t>
  </si>
  <si>
    <t>Complimentary appetizers or desserts</t>
  </si>
  <si>
    <t>Monthly "Members-only" discounts</t>
  </si>
  <si>
    <t>Priority Seating or skip-the-line perks</t>
  </si>
  <si>
    <t>Column2</t>
  </si>
  <si>
    <t>Complimentary appetizers or desserts =</t>
  </si>
  <si>
    <t>Monthly "Members-only" discounts =</t>
  </si>
  <si>
    <t>Grand Total</t>
  </si>
  <si>
    <t>Sum of How would you rate your experience with us?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</si>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</sst>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yy\ 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NumberFormat="1"/>
    <xf numFmtId="166" fontId="0" fillId="0" borderId="0" xfId="0" applyNumberFormat="1"/>
    <xf numFmtId="0" fontId="1" fillId="0" borderId="0" xfId="0" applyFont="1"/>
    <xf numFmtId="49" fontId="1" fillId="2" borderId="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4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166" formatCode="mm/dd/yyyy\ h:mm:ss"/>
    </dxf>
    <dxf>
      <numFmt numFmtId="166" formatCode="mm/dd/yyyy\ h:mm:ss"/>
    </dxf>
    <dxf>
      <numFmt numFmtId="166" formatCode="mm/dd/yyyy\ h:mm:ss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166" formatCode="mm/dd/yyyy\ h:mm:ss"/>
    </dxf>
    <dxf>
      <numFmt numFmtId="166" formatCode="mm/dd/yyyy\ h:mm:ss"/>
    </dxf>
    <dxf>
      <numFmt numFmtId="166" formatCode="mm/dd/yy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[El_Rey_Taquiza_Artesenal.xlsx]Sheet2!PivotTable1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Ratings</a:t>
            </a:r>
            <a:r>
              <a:rPr lang="en-US" baseline="0"/>
              <a:t> by person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911-4701-9D7D-DC0B31C55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770015"/>
        <c:axId val="372771455"/>
      </c:barChart>
      <c:catAx>
        <c:axId val="37277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71455"/>
        <c:crosses val="autoZero"/>
        <c:auto val="1"/>
        <c:lblAlgn val="ctr"/>
        <c:lblOffset val="100"/>
        <c:noMultiLvlLbl val="0"/>
      </c:catAx>
      <c:valAx>
        <c:axId val="37277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7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165100</xdr:rowOff>
    </xdr:from>
    <xdr:to>
      <xdr:col>11</xdr:col>
      <xdr:colOff>304800</xdr:colOff>
      <xdr:row>15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02A52D-0ACE-47C1-5030-6E6E47FEB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. Espinosa" refreshedDate="46124.951812037034" createdVersion="8" refreshedVersion="8" minRefreshableVersion="3" recordCount="4" xr:uid="{10739CAD-305A-44AB-9C8B-8346ED387560}">
  <cacheSource type="worksheet">
    <worksheetSource name="OfficeForms.Table"/>
  </cacheSource>
  <cacheFields count="13">
    <cacheField name="Id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Start time" numFmtId="166">
      <sharedItems containsSemiMixedTypes="0" containsNonDate="0" containsDate="1" containsString="0" minDate="2026-04-12T14:47:10" maxDate="2026-04-12T21:29:04"/>
    </cacheField>
    <cacheField name="Completion time" numFmtId="166">
      <sharedItems containsSemiMixedTypes="0" containsNonDate="0" containsDate="1" containsString="0" minDate="2026-04-12T14:48:00" maxDate="2026-04-12T21:31:48"/>
    </cacheField>
    <cacheField name="Time to Complete" numFmtId="166">
      <sharedItems containsSemiMixedTypes="0" containsNonDate="0" containsDate="1" containsString="0" minDate="1899-12-30T00:00:33" maxDate="1899-12-30T00:02:44"/>
    </cacheField>
    <cacheField name="Email" numFmtId="0">
      <sharedItems/>
    </cacheField>
    <cacheField name="Name" numFmtId="0">
      <sharedItems count="2">
        <s v="dahlia sanchez"/>
        <s v="luisangel espinosavillicana"/>
      </sharedItems>
    </cacheField>
    <cacheField name="How would you rate your experience with us?" numFmtId="0">
      <sharedItems containsSemiMixedTypes="0" containsString="0" containsNumber="1" containsInteger="1" minValue="2" maxValue="5" count="3">
        <n v="5"/>
        <n v="4"/>
        <n v="2"/>
      </sharedItems>
    </cacheField>
    <cacheField name="Are there any specific dishes or staff interactions that stood out during your visit? We would love to hear the details." numFmtId="0">
      <sharedItems/>
    </cacheField>
    <cacheField name="What is something you'd like to see more of? (i.e. Events, Live performances, Dishes, Cultural representation, etc.)" numFmtId="0">
      <sharedItems/>
    </cacheField>
    <cacheField name="We value your feedback, how can we improve?" numFmtId="0">
      <sharedItems containsBlank="1"/>
    </cacheField>
    <cacheField name="We are exploring a new rewards program! What types of perks or rewards would make your visits even more special?" numFmtId="0">
      <sharedItems/>
    </cacheField>
    <cacheField name="Column1" numFmtId="49">
      <sharedItems containsBlank="1"/>
    </cacheField>
    <cacheField name="Column2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d v="2026-04-12T14:47:10"/>
    <d v="2026-04-12T14:48:00"/>
    <d v="1899-12-30T00:00:50"/>
    <s v="dsanchez1@my.yearupunited.org"/>
    <x v="0"/>
    <x v="0"/>
    <s v="Everything was perfect. I had an amazing time with friends."/>
    <s v="I would love live music."/>
    <m/>
    <s v="Complimentary appetizers or desserts"/>
    <s v="Monthly &quot;Members-only&quot; discounts"/>
    <m/>
  </r>
  <r>
    <x v="1"/>
    <d v="2026-04-12T21:27:42"/>
    <d v="2026-04-12T21:28:24"/>
    <d v="1899-12-30T00:00:42"/>
    <s v="lespinosavillicana@my.yearupunited.org"/>
    <x v="1"/>
    <x v="1"/>
    <s v="The food was really good!"/>
    <s v="Cultural representation of more states from Mexico"/>
    <m/>
    <s v="Monthly &quot;Members-only&quot; discounts"/>
    <m/>
    <m/>
  </r>
  <r>
    <x v="2"/>
    <d v="2026-04-12T21:28:26"/>
    <d v="2026-04-12T21:28:59"/>
    <d v="1899-12-30T00:00:33"/>
    <s v="lespinosavillicana@my.yearupunited.org"/>
    <x v="1"/>
    <x v="0"/>
    <s v="The staff was extremely kind and helpful."/>
    <s v="Live performances!"/>
    <m/>
    <s v="Complimentary appetizers or desserts"/>
    <s v="Priority Seating or skip-the-line perks"/>
    <m/>
  </r>
  <r>
    <x v="3"/>
    <d v="2026-04-12T21:29:04"/>
    <d v="2026-04-12T21:31:48"/>
    <d v="1899-12-30T00:02:44"/>
    <s v="lespinosavillicana@my.yearupunited.org"/>
    <x v="1"/>
    <x v="2"/>
    <s v="I wasn't a big fan of the food."/>
    <s v="More variety of dishes"/>
    <s v="Add more seafood options"/>
    <s v="Monthly &quot;Members-only&quot; discounts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612F9-59D0-4AAE-BEBB-5AE4A0486D8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erson">
  <location ref="A3:B8" firstHeaderRow="1" firstDataRow="1" firstDataCol="1"/>
  <pivotFields count="13">
    <pivotField axis="axisRow" showAll="0">
      <items count="5">
        <item x="0"/>
        <item x="1"/>
        <item x="2"/>
        <item x="3"/>
        <item t="default"/>
      </items>
    </pivotField>
    <pivotField numFmtId="166" showAll="0"/>
    <pivotField numFmtId="166" showAll="0"/>
    <pivotField numFmtId="166" showAll="0"/>
    <pivotField showAll="0"/>
    <pivotField showAll="0">
      <items count="3">
        <item x="0"/>
        <item x="1"/>
        <item t="default"/>
      </items>
    </pivotField>
    <pivotField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How would you rate your experience with us?" fld="6" baseField="0" baseItem="0"/>
  </dataFields>
  <chartFormats count="1">
    <chartFormat chart="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M6" totalsRowCount="1">
  <autoFilter ref="A1:M5" xr:uid="{00000000-000C-0000-FFFF-FFFF00000000}"/>
  <tableColumns count="13">
    <tableColumn id="1" xr3:uid="{00000000-0010-0000-0000-000001000000}" name="Id" dataDxfId="23" totalsRow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2" totalsRowDxfId="9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1" totalsRowDxfId="8">
      <extLst>
        <ext xmlns:xlmsforms="http://schemas.microsoft.com/office/spreadsheetml/2023/msForms" uri="{FCC71383-01E1-4257-9335-427F07BE8D7F}">
          <xlmsforms:question id="submitDate"/>
        </ext>
      </extLst>
    </tableColumn>
    <tableColumn id="11" xr3:uid="{5D961022-3D68-4726-ABB1-132C80D0E6B1}" name="Time to Complete" totalsRowFunction="custom" dataDxfId="20" totalsRowDxfId="7">
      <calculatedColumnFormula>C2-B2</calculatedColumnFormula>
      <totalsRowFormula>AVERAGE(D2:D5)</totalsRowFormula>
    </tableColumn>
    <tableColumn id="4" xr3:uid="{00000000-0010-0000-0000-000004000000}" name="Email" dataDxfId="19" totalsRow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8" totalsRow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would you rate your experience with us?" totalsRowFunction="custom" dataDxfId="17" totalsRowDxfId="4">
      <totalsRowFormula>AVERAGE(G2:G5)</totalsRowFormula>
      <extLst>
        <ext xmlns:xlmsforms="http://schemas.microsoft.com/office/spreadsheetml/2023/msForms" uri="{FCC71383-01E1-4257-9335-427F07BE8D7F}">
          <xlmsforms:question id="rd5bcdd6e8d6a46db8256335212915876"/>
        </ext>
      </extLst>
    </tableColumn>
    <tableColumn id="7" xr3:uid="{00000000-0010-0000-0000-000007000000}" name="Are there any specific dishes or staff interactions that stood out during your visit? We would love to hear the details." dataDxfId="16" totalsRowDxfId="3">
      <extLst>
        <ext xmlns:xlmsforms="http://schemas.microsoft.com/office/spreadsheetml/2023/msForms" uri="{FCC71383-01E1-4257-9335-427F07BE8D7F}">
          <xlmsforms:question id="r8a99475a4e9442b8a7c404a1051b0afa"/>
        </ext>
      </extLst>
    </tableColumn>
    <tableColumn id="8" xr3:uid="{00000000-0010-0000-0000-000008000000}" name="What is something you'd like to see more of? (i.e. Events, Live performances, Dishes, Cultural representation, etc.)" dataDxfId="15" totalsRowDxfId="2">
      <extLst>
        <ext xmlns:xlmsforms="http://schemas.microsoft.com/office/spreadsheetml/2023/msForms" uri="{FCC71383-01E1-4257-9335-427F07BE8D7F}">
          <xlmsforms:question id="r2fbd00d1c9c8484f87fedd93e8847b82"/>
        </ext>
      </extLst>
    </tableColumn>
    <tableColumn id="9" xr3:uid="{00000000-0010-0000-0000-000009000000}" name="We value your feedback, how can we improve?" dataDxfId="14" totalsRowDxfId="1">
      <extLst>
        <ext xmlns:xlmsforms="http://schemas.microsoft.com/office/spreadsheetml/2023/msForms" uri="{FCC71383-01E1-4257-9335-427F07BE8D7F}">
          <xlmsforms:question id="r4014107b7c494f4baa0255639d719454"/>
        </ext>
      </extLst>
    </tableColumn>
    <tableColumn id="10" xr3:uid="{00000000-0010-0000-0000-00000A000000}" name="We are exploring a new rewards program! What types of perks or rewards would make your visits even more special?" totalsRowLabel="Complimentary appetizers or desserts =" dataDxfId="13">
      <extLst>
        <ext xmlns:xlmsforms="http://schemas.microsoft.com/office/spreadsheetml/2023/msForms" uri="{FCC71383-01E1-4257-9335-427F07BE8D7F}">
          <xlmsforms:question id="rd7b0c50c1db64205ba7164588cdb9b49"/>
        </ext>
      </extLst>
    </tableColumn>
    <tableColumn id="12" xr3:uid="{0AF849D7-3DB0-45FD-96DC-9F1AB01F5767}" name="Column1" totalsRowFunction="custom" dataDxfId="11" totalsRowDxfId="0">
      <totalsRowFormula>COUNTIF(OfficeForms.Table[[We are exploring a new rewards program! What types of perks or rewards would make your visits even more special?]:[Column2]],"Complimentary appetizers or desserts")</totalsRowFormula>
    </tableColumn>
    <tableColumn id="13" xr3:uid="{D12C9BBE-365D-414D-A293-D29CEF971EF8}" name="Column2" dataDxfId="12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-6Jcvf3l6dLkewSZk1vXSxUOUg4WjJTSE5HNEkwUldOV0pZSzNIQ0VTTC4u" isFormConnected="1" maxResponseId="4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rd5bcdd6e8d6a46db8256335212915876</xlmsforms:syncedQuestionId>
        <xlmsforms:syncedQuestionId>r8a99475a4e9442b8a7c404a1051b0afa</xlmsforms:syncedQuestionId>
        <xlmsforms:syncedQuestionId>r2fbd00d1c9c8484f87fedd93e8847b82</xlmsforms:syncedQuestionId>
        <xlmsforms:syncedQuestionId>r4014107b7c494f4baa0255639d719454</xlmsforms:syncedQuestionId>
        <xlmsforms:syncedQuestionId>rd7b0c50c1db64205ba7164588cdb9b49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H2" sqref="H2"/>
    </sheetView>
  </sheetViews>
  <sheetFormatPr defaultRowHeight="14.5" x14ac:dyDescent="0.35"/>
  <cols>
    <col min="1" max="1" width="20" bestFit="1" customWidth="1"/>
    <col min="2" max="2" width="20" style="3" bestFit="1" customWidth="1"/>
    <col min="3" max="3" width="20" bestFit="1" customWidth="1"/>
    <col min="4" max="4" width="20" customWidth="1"/>
    <col min="5" max="10" width="20" bestFit="1" customWidth="1"/>
    <col min="11" max="11" width="35" customWidth="1"/>
  </cols>
  <sheetData>
    <row r="1" spans="1:13" x14ac:dyDescent="0.35">
      <c r="A1" t="s">
        <v>0</v>
      </c>
      <c r="B1" s="3" t="s">
        <v>1</v>
      </c>
      <c r="C1" t="s">
        <v>2</v>
      </c>
      <c r="D1" t="s">
        <v>24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23</v>
      </c>
      <c r="M1" t="s">
        <v>28</v>
      </c>
    </row>
    <row r="2" spans="1:13" x14ac:dyDescent="0.35">
      <c r="A2">
        <v>1</v>
      </c>
      <c r="B2" s="3">
        <v>46124.616087962961</v>
      </c>
      <c r="C2" s="3">
        <v>46124.616666666669</v>
      </c>
      <c r="D2" s="3">
        <f t="shared" ref="D2:D5" si="0">C2-B2</f>
        <v>5.7870370801538229E-4</v>
      </c>
      <c r="E2" t="s">
        <v>10</v>
      </c>
      <c r="F2" t="s">
        <v>11</v>
      </c>
      <c r="G2">
        <v>5</v>
      </c>
      <c r="H2" t="s">
        <v>12</v>
      </c>
      <c r="I2" t="s">
        <v>13</v>
      </c>
      <c r="K2" t="s">
        <v>25</v>
      </c>
      <c r="L2" s="1" t="s">
        <v>26</v>
      </c>
      <c r="M2" s="1"/>
    </row>
    <row r="3" spans="1:13" x14ac:dyDescent="0.35">
      <c r="A3">
        <v>2</v>
      </c>
      <c r="B3" s="3">
        <v>46124.894236111111</v>
      </c>
      <c r="C3" s="3">
        <v>46124.89472222222</v>
      </c>
      <c r="D3" s="3">
        <f t="shared" si="0"/>
        <v>4.8611110833007842E-4</v>
      </c>
      <c r="E3" t="s">
        <v>14</v>
      </c>
      <c r="F3" t="s">
        <v>15</v>
      </c>
      <c r="G3">
        <v>4</v>
      </c>
      <c r="H3" t="s">
        <v>16</v>
      </c>
      <c r="I3" t="s">
        <v>17</v>
      </c>
      <c r="K3" t="s">
        <v>26</v>
      </c>
      <c r="L3" s="1"/>
      <c r="M3" s="1"/>
    </row>
    <row r="4" spans="1:13" x14ac:dyDescent="0.35">
      <c r="A4">
        <v>3</v>
      </c>
      <c r="B4" s="3">
        <v>46124.894745370373</v>
      </c>
      <c r="C4" s="3">
        <v>46124.895127314812</v>
      </c>
      <c r="D4" s="3">
        <f t="shared" si="0"/>
        <v>3.8194443914107978E-4</v>
      </c>
      <c r="E4" t="s">
        <v>14</v>
      </c>
      <c r="F4" t="s">
        <v>15</v>
      </c>
      <c r="G4">
        <v>5</v>
      </c>
      <c r="H4" t="s">
        <v>18</v>
      </c>
      <c r="I4" t="s">
        <v>19</v>
      </c>
      <c r="K4" t="s">
        <v>25</v>
      </c>
      <c r="L4" s="1" t="s">
        <v>27</v>
      </c>
      <c r="M4" s="1"/>
    </row>
    <row r="5" spans="1:13" x14ac:dyDescent="0.35">
      <c r="A5">
        <v>4</v>
      </c>
      <c r="B5" s="3">
        <v>46124.895185185182</v>
      </c>
      <c r="C5" s="3">
        <v>46124.897083333337</v>
      </c>
      <c r="D5" s="3">
        <f t="shared" si="0"/>
        <v>1.8981481553055346E-3</v>
      </c>
      <c r="E5" t="s">
        <v>14</v>
      </c>
      <c r="F5" t="s">
        <v>15</v>
      </c>
      <c r="G5">
        <v>2</v>
      </c>
      <c r="H5" t="s">
        <v>20</v>
      </c>
      <c r="I5" t="s">
        <v>21</v>
      </c>
      <c r="J5" t="s">
        <v>22</v>
      </c>
      <c r="K5" t="s">
        <v>26</v>
      </c>
      <c r="L5" s="1"/>
      <c r="M5" s="1"/>
    </row>
    <row r="6" spans="1:13" x14ac:dyDescent="0.35">
      <c r="A6" s="2"/>
      <c r="C6" s="3"/>
      <c r="D6" s="3">
        <f>AVERAGE(D2:D5)</f>
        <v>8.3622685269801877E-4</v>
      </c>
      <c r="E6" s="1"/>
      <c r="F6" s="1"/>
      <c r="G6" s="2">
        <f>AVERAGE(G2:G5)</f>
        <v>4</v>
      </c>
      <c r="H6" s="1"/>
      <c r="I6" s="1"/>
      <c r="J6" s="1"/>
      <c r="K6" t="s">
        <v>29</v>
      </c>
      <c r="L6" s="2">
        <f>COUNTIF(OfficeForms.Table[[We are exploring a new rewards program! What types of perks or rewards would make your visits even more special?]:[Column2]],"Complimentary appetizers or desserts")</f>
        <v>2</v>
      </c>
    </row>
    <row r="7" spans="1:13" x14ac:dyDescent="0.35">
      <c r="K7" s="4" t="s">
        <v>30</v>
      </c>
      <c r="L7" s="2">
        <f>COUNTIF(OfficeForms.Table[[We are exploring a new rewards program! What types of perks or rewards would make your visits even more special?]:[Column2]],"Monthly ""Members-only"" discounts")</f>
        <v>3</v>
      </c>
    </row>
    <row r="8" spans="1:13" x14ac:dyDescent="0.35">
      <c r="K8" s="5" t="s">
        <v>27</v>
      </c>
      <c r="L8" s="2">
        <f>COUNTIF(OfficeForms.Table[[We are exploring a new rewards program! What types of perks or rewards would make your visits even more special?]:[Column2]],"Priority Seating or skip-the-line perks")</f>
        <v>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3F29-B194-4C64-B597-E37F5C849461}">
  <dimension ref="A3:B8"/>
  <sheetViews>
    <sheetView workbookViewId="0">
      <selection activeCell="A4" sqref="A4"/>
    </sheetView>
  </sheetViews>
  <sheetFormatPr defaultRowHeight="14.5" x14ac:dyDescent="0.35"/>
  <cols>
    <col min="1" max="1" width="12.36328125" bestFit="1" customWidth="1"/>
    <col min="2" max="2" width="46.08984375" bestFit="1" customWidth="1"/>
    <col min="3" max="4" width="1.81640625" bestFit="1" customWidth="1"/>
    <col min="5" max="5" width="10.7265625" bestFit="1" customWidth="1"/>
  </cols>
  <sheetData>
    <row r="3" spans="1:2" x14ac:dyDescent="0.35">
      <c r="A3" s="6" t="s">
        <v>33</v>
      </c>
      <c r="B3" t="s">
        <v>32</v>
      </c>
    </row>
    <row r="4" spans="1:2" x14ac:dyDescent="0.35">
      <c r="A4" s="7">
        <v>1</v>
      </c>
      <c r="B4" s="2">
        <v>5</v>
      </c>
    </row>
    <row r="5" spans="1:2" x14ac:dyDescent="0.35">
      <c r="A5" s="7">
        <v>2</v>
      </c>
      <c r="B5" s="2">
        <v>4</v>
      </c>
    </row>
    <row r="6" spans="1:2" x14ac:dyDescent="0.35">
      <c r="A6" s="7">
        <v>3</v>
      </c>
      <c r="B6" s="2">
        <v>5</v>
      </c>
    </row>
    <row r="7" spans="1:2" x14ac:dyDescent="0.35">
      <c r="A7" s="7">
        <v>4</v>
      </c>
      <c r="B7" s="2">
        <v>2</v>
      </c>
    </row>
    <row r="8" spans="1:2" x14ac:dyDescent="0.35">
      <c r="A8" s="7" t="s">
        <v>31</v>
      </c>
      <c r="B8" s="2">
        <v>16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luisangel espinosavillicana</cp:lastModifiedBy>
  <dcterms:created xsi:type="dcterms:W3CDTF">2026-04-13T04:32:23Z</dcterms:created>
  <dcterms:modified xsi:type="dcterms:W3CDTF">2026-04-13T05:59:48Z</dcterms:modified>
</cp:coreProperties>
</file>